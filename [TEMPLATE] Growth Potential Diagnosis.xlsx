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W" sheetId="1" r:id="rId5"/>
  </sheets>
  <definedNames/>
  <calcPr/>
</workbook>
</file>

<file path=xl/sharedStrings.xml><?xml version="1.0" encoding="utf-8"?>
<sst xmlns="http://schemas.openxmlformats.org/spreadsheetml/2006/main" count="33" uniqueCount="33">
  <si>
    <t>Metric</t>
  </si>
  <si>
    <t>Value</t>
  </si>
  <si>
    <t>Start Date</t>
  </si>
  <si>
    <t>End Date</t>
  </si>
  <si>
    <t>Sessions GA4</t>
  </si>
  <si>
    <t>Sessions Store</t>
  </si>
  <si>
    <t>Sessions difference</t>
  </si>
  <si>
    <t>Transactions GA4</t>
  </si>
  <si>
    <t>Transactions Shop</t>
  </si>
  <si>
    <t>Transaction Difference</t>
  </si>
  <si>
    <t>Clients GA4</t>
  </si>
  <si>
    <t>Clients Store</t>
  </si>
  <si>
    <t>Clients Difference</t>
  </si>
  <si>
    <t>Cash Collected GA4</t>
  </si>
  <si>
    <t>Cash Collected Shop</t>
  </si>
  <si>
    <t>Cash Collected Difference</t>
  </si>
  <si>
    <t>Returns Value</t>
  </si>
  <si>
    <t>Revenue</t>
  </si>
  <si>
    <t>Estimated Total Revenue</t>
  </si>
  <si>
    <t>Gross Margin</t>
  </si>
  <si>
    <t>Google Ads</t>
  </si>
  <si>
    <t>Meta Ads</t>
  </si>
  <si>
    <t>Other Marketing Costs</t>
  </si>
  <si>
    <t>Total Ad Spent</t>
  </si>
  <si>
    <t>Conversion Rate</t>
  </si>
  <si>
    <t>Gross Profit</t>
  </si>
  <si>
    <t>Contribution Profit</t>
  </si>
  <si>
    <t>Frequency</t>
  </si>
  <si>
    <t>CAC</t>
  </si>
  <si>
    <t>AOV</t>
  </si>
  <si>
    <t>LTV</t>
  </si>
  <si>
    <t>LTV / CAC</t>
  </si>
  <si>
    <t>LTV - CAC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</si>
</sst>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 &quot;mm&quot; /&quot;yyyy"/>
    <numFmt numFmtId="165" formatCode="# ##0"/>
    <numFmt numFmtId="166" formatCode="#,##0[$ zł]"/>
    <numFmt numFmtId="167" formatCode="# ##0.0"/>
  </numFmts>
  <fonts count="5">
    <font>
      <sz val="10.0"/>
      <color rgb="FF000000"/>
      <name val="Arial"/>
      <scheme val="minor"/>
    </font>
    <font>
      <b/>
      <color rgb="FFFFFFFF"/>
      <name val="Poppins"/>
    </font>
    <font>
      <color theme="1"/>
      <name val="Poppins"/>
    </font>
    <font>
      <b/>
      <color theme="1"/>
      <name val="Poppin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2" numFmtId="10" xfId="0" applyAlignment="1" applyFont="1" applyNumberFormat="1">
      <alignment horizontal="right" vertical="bottom"/>
    </xf>
    <xf borderId="0" fillId="0" fontId="2" numFmtId="9" xfId="0" applyAlignment="1" applyFont="1" applyNumberFormat="1">
      <alignment horizontal="right" vertical="bottom"/>
    </xf>
    <xf borderId="0" fillId="0" fontId="2" numFmtId="166" xfId="0" applyAlignment="1" applyFont="1" applyNumberFormat="1">
      <alignment horizontal="right" vertical="bottom"/>
    </xf>
    <xf borderId="0" fillId="0" fontId="4" numFmtId="166" xfId="0" applyAlignment="1" applyFont="1" applyNumberFormat="1">
      <alignment vertical="bottom"/>
    </xf>
    <xf borderId="0" fillId="0" fontId="2" numFmtId="167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88"/>
    <col customWidth="1" min="2" max="2" width="17.0"/>
  </cols>
  <sheetData>
    <row r="1" ht="26.25" customHeight="1">
      <c r="A1" s="1" t="s">
        <v>0</v>
      </c>
      <c r="B1" s="1" t="s">
        <v>1</v>
      </c>
    </row>
    <row r="2">
      <c r="A2" s="2" t="s">
        <v>2</v>
      </c>
      <c r="B2" s="3">
        <v>45658.0</v>
      </c>
    </row>
    <row r="3">
      <c r="A3" s="2" t="s">
        <v>3</v>
      </c>
      <c r="B3" s="3">
        <v>46022.0</v>
      </c>
    </row>
    <row r="4">
      <c r="A4" s="2" t="s">
        <v>4</v>
      </c>
      <c r="B4" s="4">
        <v>581901.0</v>
      </c>
    </row>
    <row r="5">
      <c r="A5" s="2" t="s">
        <v>5</v>
      </c>
      <c r="B5" s="4">
        <v>690282.0</v>
      </c>
    </row>
    <row r="6">
      <c r="A6" s="5" t="s">
        <v>6</v>
      </c>
      <c r="B6" s="6">
        <f>(B5-B4)/B5</f>
        <v>0.1570097438</v>
      </c>
    </row>
    <row r="7">
      <c r="A7" s="2" t="s">
        <v>7</v>
      </c>
      <c r="B7" s="4">
        <v>3982.0</v>
      </c>
    </row>
    <row r="8">
      <c r="A8" s="2" t="s">
        <v>8</v>
      </c>
      <c r="B8" s="4">
        <v>5091.0</v>
      </c>
    </row>
    <row r="9">
      <c r="A9" s="5" t="s">
        <v>9</v>
      </c>
      <c r="B9" s="7">
        <f>(B8-B7)/B8</f>
        <v>0.2178353958</v>
      </c>
    </row>
    <row r="10">
      <c r="A10" s="2" t="s">
        <v>10</v>
      </c>
      <c r="B10" s="4">
        <v>3738.0</v>
      </c>
    </row>
    <row r="11">
      <c r="A11" s="2" t="s">
        <v>11</v>
      </c>
      <c r="B11" s="4">
        <v>4490.0</v>
      </c>
    </row>
    <row r="12">
      <c r="A12" s="5" t="s">
        <v>12</v>
      </c>
      <c r="B12" s="7">
        <f>(B11-B10)/B11</f>
        <v>0.1674832962</v>
      </c>
    </row>
    <row r="13">
      <c r="A13" s="2" t="s">
        <v>13</v>
      </c>
      <c r="B13" s="8">
        <v>1989820.0</v>
      </c>
    </row>
    <row r="14">
      <c r="A14" s="2" t="s">
        <v>14</v>
      </c>
      <c r="B14" s="8">
        <f>904053*3.63</f>
        <v>3281712.39</v>
      </c>
    </row>
    <row r="15">
      <c r="A15" s="5" t="s">
        <v>15</v>
      </c>
      <c r="B15" s="7">
        <f>(B14-B13)/B14</f>
        <v>0.3936641108</v>
      </c>
    </row>
    <row r="16">
      <c r="A16" s="2" t="s">
        <v>16</v>
      </c>
      <c r="B16" s="8">
        <f>B14*1%</f>
        <v>32817.1239</v>
      </c>
    </row>
    <row r="17">
      <c r="A17" s="2" t="s">
        <v>17</v>
      </c>
      <c r="B17" s="8">
        <f>(B14-B16)/1.23</f>
        <v>2641378.265</v>
      </c>
    </row>
    <row r="18">
      <c r="A18" s="2" t="s">
        <v>18</v>
      </c>
      <c r="B18" s="8">
        <f>B17*B27</f>
        <v>2994934.688</v>
      </c>
    </row>
    <row r="19">
      <c r="A19" s="2" t="s">
        <v>19</v>
      </c>
      <c r="B19" s="7">
        <v>0.75</v>
      </c>
    </row>
    <row r="20">
      <c r="A20" s="2" t="s">
        <v>20</v>
      </c>
      <c r="B20" s="8">
        <v>270000.0</v>
      </c>
    </row>
    <row r="21">
      <c r="A21" s="2" t="s">
        <v>21</v>
      </c>
      <c r="B21" s="8">
        <f>329143*3.6</f>
        <v>1184914.8</v>
      </c>
    </row>
    <row r="22">
      <c r="A22" s="2" t="s">
        <v>22</v>
      </c>
      <c r="B22" s="9"/>
    </row>
    <row r="23">
      <c r="A23" s="5" t="s">
        <v>23</v>
      </c>
      <c r="B23" s="8">
        <f>sum(B20:B22)</f>
        <v>1454914.8</v>
      </c>
    </row>
    <row r="24">
      <c r="A24" s="5" t="s">
        <v>24</v>
      </c>
      <c r="B24" s="6">
        <f>B8/B4</f>
        <v>0.008748910897</v>
      </c>
    </row>
    <row r="25">
      <c r="A25" s="2" t="s">
        <v>25</v>
      </c>
      <c r="B25" s="8">
        <f>B19*B17</f>
        <v>1981033.699</v>
      </c>
    </row>
    <row r="26">
      <c r="A26" s="2" t="s">
        <v>26</v>
      </c>
      <c r="B26" s="8">
        <f>B25-B23</f>
        <v>526118.8988</v>
      </c>
    </row>
    <row r="27">
      <c r="A27" s="2" t="s">
        <v>27</v>
      </c>
      <c r="B27" s="10">
        <f>B8/B11</f>
        <v>1.133853007</v>
      </c>
    </row>
    <row r="28">
      <c r="A28" s="2" t="s">
        <v>28</v>
      </c>
      <c r="B28" s="8">
        <f>B23/B11</f>
        <v>324.0344766</v>
      </c>
    </row>
    <row r="29">
      <c r="A29" s="2" t="s">
        <v>29</v>
      </c>
      <c r="B29" s="8">
        <f>B14/B11</f>
        <v>730.8936281</v>
      </c>
    </row>
    <row r="30">
      <c r="A30" s="2" t="s">
        <v>30</v>
      </c>
      <c r="B30" s="8">
        <f>B25/B11</f>
        <v>441.2101779</v>
      </c>
    </row>
    <row r="31">
      <c r="A31" s="2" t="s">
        <v>31</v>
      </c>
      <c r="B31" s="10">
        <f>B30/B28</f>
        <v>1.36161492</v>
      </c>
    </row>
    <row r="32">
      <c r="A32" s="2" t="s">
        <v>32</v>
      </c>
      <c r="B32" s="8">
        <f>B30-B28</f>
        <v>117.1757013</v>
      </c>
    </row>
  </sheetData>
  <drawing r:id="rId1"/>
</worksheet>
</file>